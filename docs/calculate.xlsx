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"/>
  </bookViews>
  <sheets>
    <sheet name="a、b、c、d、g" sheetId="2" r:id="rId1"/>
    <sheet name="数据库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<sst xmlns="http://schemas.openxmlformats.org/spreadsheetml/2006/main" count="162" uniqueCount="125">
  <si>
    <t>配置选择</t>
  </si>
  <si>
    <t>板材</t>
  </si>
  <si>
    <t>门板材质</t>
  </si>
  <si>
    <t>门板工艺</t>
  </si>
  <si>
    <t>五金</t>
  </si>
  <si>
    <t>照明</t>
  </si>
  <si>
    <t>奥地利 爱格</t>
  </si>
  <si>
    <t>柜体相同</t>
  </si>
  <si>
    <t>无</t>
  </si>
  <si>
    <t>中国品牌</t>
  </si>
  <si>
    <t>编号</t>
  </si>
  <si>
    <t>a-100-230</t>
  </si>
  <si>
    <t>结构</t>
  </si>
  <si>
    <t>宽度</t>
  </si>
  <si>
    <t>高度</t>
  </si>
  <si>
    <t>分类</t>
  </si>
  <si>
    <t>部件</t>
  </si>
  <si>
    <t>规格（cm）</t>
  </si>
  <si>
    <t>数量</t>
  </si>
  <si>
    <t>面积
m²</t>
  </si>
  <si>
    <t>单价
  （元）</t>
  </si>
  <si>
    <t>小计
 （元）</t>
  </si>
  <si>
    <t>长</t>
  </si>
  <si>
    <t>宽</t>
  </si>
  <si>
    <t>厚</t>
  </si>
  <si>
    <t>左侧板</t>
  </si>
  <si>
    <t>右侧板</t>
  </si>
  <si>
    <t>顶板</t>
  </si>
  <si>
    <t>底板</t>
  </si>
  <si>
    <t>厚背板</t>
  </si>
  <si>
    <t>层板</t>
  </si>
  <si>
    <t>门板</t>
  </si>
  <si>
    <t>检修口</t>
  </si>
  <si>
    <t>A抽面</t>
  </si>
  <si>
    <t>A左抽帮</t>
  </si>
  <si>
    <t>A右抽帮</t>
  </si>
  <si>
    <t>A后抽堵</t>
  </si>
  <si>
    <t>A抽底</t>
  </si>
  <si>
    <t>B抽面</t>
  </si>
  <si>
    <t>B左抽帮</t>
  </si>
  <si>
    <t>B右抽帮</t>
  </si>
  <si>
    <t>B后抽堵</t>
  </si>
  <si>
    <t>B抽底</t>
  </si>
  <si>
    <t>踢脚线</t>
  </si>
  <si>
    <t>五金
&amp;
配件</t>
  </si>
  <si>
    <t>柜体连接</t>
  </si>
  <si>
    <t>SW4 6.3×50mm 白锌合金 沉头螺丝</t>
  </si>
  <si>
    <t>8×40mm 定位木销</t>
  </si>
  <si>
    <t>调整脚</t>
  </si>
  <si>
    <t>Häfele AXILO® 基座系统 53–70 mm</t>
  </si>
  <si>
    <t>Häfele AXILO® 压入式底座</t>
  </si>
  <si>
    <t>铰链</t>
  </si>
  <si>
    <t>Ø5mm×12mm 尼龙螺丝预埋颗粒</t>
  </si>
  <si>
    <t>M4×16 深螺纹镀镍螺丝</t>
  </si>
  <si>
    <t>Ø37mm×12.8mm深 37孔无介防潮盖</t>
  </si>
  <si>
    <t>12mm×7mm 数据线/光纤PVC方形线槽</t>
  </si>
  <si>
    <t>9mm宽×0.3mm厚 导热散热双面胶</t>
  </si>
  <si>
    <t>6mm穿透折叠拉手（检修口用）</t>
  </si>
  <si>
    <t>挂衣杆</t>
  </si>
  <si>
    <t>抽屉</t>
  </si>
  <si>
    <t>海蒂诗 Quadro S全拉出阻尼滑轨 30KG 500mm /对</t>
  </si>
  <si>
    <t>其它</t>
  </si>
  <si>
    <t>Ø5mm×6mm深 静音胶粒</t>
  </si>
  <si>
    <t>立邦MS免钉胶 50g</t>
  </si>
  <si>
    <t>隐形二合一连接件（34mm自攻款）</t>
  </si>
  <si>
    <t>T型-151 地面防尘胶条</t>
  </si>
  <si>
    <t>汇总</t>
  </si>
  <si>
    <t>运费</t>
  </si>
  <si>
    <t>安装费</t>
  </si>
  <si>
    <t>板材(含加工）</t>
  </si>
  <si>
    <t>五金配件</t>
  </si>
  <si>
    <t>总成本</t>
  </si>
  <si>
    <t>E2 国产板</t>
  </si>
  <si>
    <t>五金-铰链</t>
  </si>
  <si>
    <t>国产 兔宝宝</t>
  </si>
  <si>
    <r>
      <rPr>
        <sz val="11"/>
        <color theme="1"/>
        <rFont val="宋体"/>
        <charset val="134"/>
        <scheme val="minor"/>
      </rPr>
      <t>DTC东泰 C81全盖铰链</t>
    </r>
    <r>
      <rPr>
        <sz val="11"/>
        <color rgb="FFFF0000"/>
        <rFont val="宋体"/>
        <charset val="134"/>
        <scheme val="minor"/>
      </rPr>
      <t>（铰杯螺丝孔间距调整为48mm）</t>
    </r>
  </si>
  <si>
    <t>国产 克诺斯帮</t>
  </si>
  <si>
    <t>DTC东泰 C81一字底座</t>
  </si>
  <si>
    <t>德国 克诺斯邦</t>
  </si>
  <si>
    <t>DTC东泰 铰链装饰盖</t>
  </si>
  <si>
    <t>DTC东泰 铰杯装饰盖</t>
  </si>
  <si>
    <t>海外品牌</t>
  </si>
  <si>
    <t>B1um百隆175H3100 MB快装集成阻尼 110°全盖</t>
  </si>
  <si>
    <t>B1um百隆175H3100 快装铰链一字底座 偏心螺丝</t>
  </si>
  <si>
    <t>钢琴烤漆</t>
  </si>
  <si>
    <t>Blum百隆70.1503. 铰链装饰盖全盖镀镍</t>
  </si>
  <si>
    <t>肤感烤漆</t>
  </si>
  <si>
    <t>Blum百隆 TO-AB 铰杯装饰盖（大开口）</t>
  </si>
  <si>
    <t>铝框AG玻璃</t>
  </si>
  <si>
    <t>实木贴皮</t>
  </si>
  <si>
    <t>五金-挂衣杆</t>
  </si>
  <si>
    <t>橡胶实木</t>
  </si>
  <si>
    <t>加厚铝合金静音条挂衣杆 /cm</t>
  </si>
  <si>
    <t>白蜡实木</t>
  </si>
  <si>
    <t>挂衣杆双侧法兰 /对</t>
  </si>
  <si>
    <t>Häfele海福乐 801.73.503 衣杆带顶部静音条 高级灰 /㎝</t>
  </si>
  <si>
    <t>Häfele海福乐 801.73.503 衣杆托 侧装/顶装 高级灰 /对</t>
  </si>
  <si>
    <t>骨骼线（浅造型）</t>
  </si>
  <si>
    <t>欧式（深造型）</t>
  </si>
  <si>
    <t>五金-反弹器</t>
  </si>
  <si>
    <t>格栅门</t>
  </si>
  <si>
    <t>悍高 重型反弹器 L=70mm</t>
  </si>
  <si>
    <t>Häfele海福乐 反弹器带橡胶缓冲器 M-PUSH L=80mm</t>
  </si>
  <si>
    <t>层板数量</t>
  </si>
  <si>
    <t>a</t>
  </si>
  <si>
    <t>五金-上翻门支臂</t>
  </si>
  <si>
    <t>b</t>
  </si>
  <si>
    <t>H-03A任意停支撑杆</t>
  </si>
  <si>
    <t>c</t>
  </si>
  <si>
    <t>Häfele海福乐 重载型任意停上翻铰链</t>
  </si>
  <si>
    <t>d</t>
  </si>
  <si>
    <t>g</t>
  </si>
  <si>
    <t>Led 超薄1010带边灯槽 /米</t>
  </si>
  <si>
    <t>A抽屉数量</t>
  </si>
  <si>
    <t>12V 4000K LED灯带 60珠 8mm /米</t>
  </si>
  <si>
    <t>12V 36瓦变压器</t>
  </si>
  <si>
    <t>12V 双头门碰感应器</t>
  </si>
  <si>
    <t>Häfele Loox5 内嵌式型材1101，聚碳酸酯 /米</t>
  </si>
  <si>
    <t>Häfele Loox LED 2042，24V灯带 120珠 4000K /米</t>
  </si>
  <si>
    <t>Häfele Loox5 24 V 恒压，配电源线40W+多开关分控盒V2</t>
  </si>
  <si>
    <r>
      <rPr>
        <sz val="11"/>
        <color theme="1"/>
        <rFont val="宋体"/>
        <charset val="134"/>
        <scheme val="minor"/>
      </rPr>
      <t>Loox5模块化门感应模块+导线</t>
    </r>
    <r>
      <rPr>
        <sz val="11"/>
        <color rgb="FFFF0000"/>
        <rFont val="宋体"/>
        <charset val="134"/>
        <scheme val="minor"/>
      </rPr>
      <t>（开孔调整为12mm）</t>
    </r>
  </si>
  <si>
    <t>B抽屉数量</t>
  </si>
  <si>
    <t>五金-三合一</t>
  </si>
  <si>
    <t>常规三合一</t>
  </si>
  <si>
    <t>Häfele 抽屉三合一连接件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</si>
</sst>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_ "/>
  </numFmts>
  <fonts count="25">
    <font>
      <sz val="11"/>
      <color theme="1"/>
      <name val="微软雅黑"/>
      <charset val="134"/>
    </font>
    <font>
      <sz val="11"/>
      <color theme="1"/>
      <name val="宋体"/>
      <charset val="134"/>
      <scheme val="minor"/>
    </font>
    <font>
      <sz val="11"/>
      <color theme="1"/>
      <name val="鸿蒙黑体 Medium"/>
      <charset val="134"/>
    </font>
    <font>
      <sz val="11"/>
      <color theme="0"/>
      <name val="鸿蒙黑体 Black"/>
      <charset val="134"/>
    </font>
    <font>
      <sz val="11"/>
      <color theme="0"/>
      <name val="鸿蒙黑体 Medium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1" tint="0.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8" borderId="1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2" fillId="0" borderId="2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9" borderId="21" applyNumberFormat="0" applyAlignment="0" applyProtection="0">
      <alignment vertical="center"/>
    </xf>
    <xf numFmtId="0" fontId="14" fillId="10" borderId="22" applyNumberFormat="0" applyAlignment="0" applyProtection="0">
      <alignment vertical="center"/>
    </xf>
    <xf numFmtId="0" fontId="15" fillId="10" borderId="21" applyNumberFormat="0" applyAlignment="0" applyProtection="0">
      <alignment vertical="center"/>
    </xf>
    <xf numFmtId="0" fontId="16" fillId="11" borderId="23" applyNumberFormat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8" fillId="0" borderId="25" applyNumberFormat="0" applyFill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3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1" fillId="0" borderId="5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center" vertical="center"/>
    </xf>
    <xf numFmtId="0" fontId="1" fillId="0" borderId="8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/>
    </xf>
    <xf numFmtId="0" fontId="1" fillId="0" borderId="8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6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 wrapText="1"/>
    </xf>
    <xf numFmtId="0" fontId="2" fillId="6" borderId="13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176" fontId="2" fillId="6" borderId="10" xfId="0" applyNumberFormat="1" applyFont="1" applyFill="1" applyBorder="1" applyAlignment="1">
      <alignment horizontal="center" vertical="center"/>
    </xf>
    <xf numFmtId="177" fontId="2" fillId="6" borderId="10" xfId="0" applyNumberFormat="1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178" fontId="2" fillId="6" borderId="10" xfId="0" applyNumberFormat="1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left" vertical="center"/>
    </xf>
    <xf numFmtId="176" fontId="2" fillId="7" borderId="10" xfId="0" applyNumberFormat="1" applyFont="1" applyFill="1" applyBorder="1" applyAlignment="1">
      <alignment horizontal="center" vertical="center"/>
    </xf>
    <xf numFmtId="0" fontId="2" fillId="7" borderId="10" xfId="0" applyFont="1" applyFill="1" applyBorder="1" applyAlignment="1">
      <alignment horizontal="center" vertical="center"/>
    </xf>
    <xf numFmtId="177" fontId="2" fillId="7" borderId="10" xfId="0" applyNumberFormat="1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horizontal="center" vertical="center"/>
    </xf>
    <xf numFmtId="0" fontId="2" fillId="7" borderId="15" xfId="0" applyFont="1" applyFill="1" applyBorder="1" applyAlignment="1">
      <alignment horizontal="left" vertical="center"/>
    </xf>
    <xf numFmtId="0" fontId="2" fillId="7" borderId="16" xfId="0" applyFont="1" applyFill="1" applyBorder="1" applyAlignment="1">
      <alignment horizontal="left" vertical="center"/>
    </xf>
    <xf numFmtId="0" fontId="2" fillId="7" borderId="17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178" fontId="2" fillId="5" borderId="1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ustomXml" Target="../customXml/item2.xml"/><Relationship Id="rId6" Type="http://schemas.openxmlformats.org/officeDocument/2006/relationships/customXml" Target="../customXml/item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3"/>
  <sheetViews>
    <sheetView tabSelected="1" workbookViewId="0">
      <pane ySplit="3" topLeftCell="A4" activePane="bottomLeft" state="frozen"/>
      <selection/>
      <selection pane="bottomLeft" activeCell="K17" sqref="K17"/>
    </sheetView>
  </sheetViews>
  <sheetFormatPr defaultColWidth="8" defaultRowHeight="14.25"/>
  <cols>
    <col min="1" max="1" width="4.92592592592593" style="18" customWidth="1"/>
    <col min="2" max="2" width="9.06666666666667" style="18" customWidth="1"/>
    <col min="3" max="5" width="11.2296296296296" style="18" customWidth="1"/>
    <col min="6" max="6" width="14.2222222222222" style="18" customWidth="1"/>
    <col min="7" max="7" width="5.74074074074074" style="18" customWidth="1"/>
    <col min="8" max="8" width="12.362962962963" style="18"/>
    <col min="9" max="9" width="8.18518518518519" style="18" customWidth="1"/>
    <col min="10" max="10" width="5.8962962962963" style="18" customWidth="1"/>
    <col min="11" max="11" width="8.88888888888889" style="18"/>
    <col min="12" max="16384" width="8" style="18"/>
  </cols>
  <sheetData>
    <row r="1" spans="1:11">
      <c r="A1" s="19">
        <v>1</v>
      </c>
      <c r="B1" s="20" t="s">
        <v>0</v>
      </c>
      <c r="C1" s="21" t="s">
        <v>1</v>
      </c>
      <c r="D1" s="21"/>
      <c r="E1" s="21" t="s">
        <v>2</v>
      </c>
      <c r="F1" s="21" t="s">
        <v>3</v>
      </c>
      <c r="G1" s="21" t="s">
        <v>4</v>
      </c>
      <c r="H1" s="21"/>
      <c r="I1" s="21" t="s">
        <v>5</v>
      </c>
    </row>
    <row r="2" spans="1:11">
      <c r="A2" s="22"/>
      <c r="B2" s="23"/>
      <c r="C2" s="21" t="s">
        <v>6</v>
      </c>
      <c r="D2" s="21"/>
      <c r="E2" s="21" t="s">
        <v>7</v>
      </c>
      <c r="F2" s="21" t="s">
        <v>8</v>
      </c>
      <c r="G2" s="21" t="s">
        <v>9</v>
      </c>
      <c r="H2" s="21"/>
      <c r="I2" s="21" t="s">
        <v>8</v>
      </c>
    </row>
    <row r="3" spans="1:11">
      <c r="A3" s="24" t="s">
        <v>10</v>
      </c>
      <c r="B3" s="24" t="s">
        <v>11</v>
      </c>
      <c r="C3" s="24"/>
      <c r="D3" s="25" t="s">
        <v>12</v>
      </c>
      <c r="E3" s="25" t="str" cm="1">
        <f t="array" ref="E3">INDEX(_xlfn.TEXTSPLIT(B3,"-"),1)</f>
        <v>a</v>
      </c>
      <c r="F3" s="24" t="s">
        <v>13</v>
      </c>
      <c r="G3" s="26">
        <v>100</v>
      </c>
      <c r="H3" s="27" t="s">
        <v>14</v>
      </c>
      <c r="I3" s="27" t="str" cm="1">
        <f t="array" ref="I3">INDEX(_xlfn.TEXTSPLIT(B3,"-"),3)</f>
        <v>230</v>
      </c>
    </row>
    <row r="4" spans="1:11">
      <c r="A4" s="28" t="s">
        <v>15</v>
      </c>
      <c r="B4" s="28" t="s">
        <v>16</v>
      </c>
      <c r="C4" s="28" t="s">
        <v>17</v>
      </c>
      <c r="D4" s="28"/>
      <c r="E4" s="28"/>
      <c r="F4" s="28" t="s">
        <v>18</v>
      </c>
      <c r="G4" s="29" t="s">
        <v>19</v>
      </c>
      <c r="H4" s="29" t="s">
        <v>20</v>
      </c>
      <c r="I4" s="29" t="s">
        <v>21</v>
      </c>
    </row>
    <row r="5" spans="1:11">
      <c r="A5" s="28"/>
      <c r="B5" s="28"/>
      <c r="C5" s="28" t="s">
        <v>22</v>
      </c>
      <c r="D5" s="28" t="s">
        <v>23</v>
      </c>
      <c r="E5" s="28" t="s">
        <v>24</v>
      </c>
      <c r="F5" s="28"/>
      <c r="G5" s="28"/>
      <c r="H5" s="28"/>
      <c r="I5" s="28"/>
    </row>
    <row r="6" spans="1:11">
      <c r="A6" s="30" t="s">
        <v>1</v>
      </c>
      <c r="B6" s="31" t="s">
        <v>25</v>
      </c>
      <c r="C6" s="32">
        <f>$I$3-6</f>
        <v>224</v>
      </c>
      <c r="D6" s="31">
        <f t="shared" ref="D6:D9" si="0">60-2</f>
        <v>58</v>
      </c>
      <c r="E6" s="31">
        <v>1.8</v>
      </c>
      <c r="F6" s="31">
        <v>1</v>
      </c>
      <c r="G6" s="33">
        <f t="shared" ref="G6:G11" si="1">C6*D6/10000*F6</f>
        <v>1.2992</v>
      </c>
      <c r="H6" s="31">
        <f>VLOOKUP($C$2,数据库!$B$1:$C$5,2,0)</f>
        <v>195</v>
      </c>
      <c r="I6" s="33">
        <f t="shared" ref="I6:I24" si="2">F6*G6*H6</f>
        <v>253.344</v>
      </c>
    </row>
    <row r="7" spans="1:11">
      <c r="A7" s="34"/>
      <c r="B7" s="31" t="s">
        <v>26</v>
      </c>
      <c r="C7" s="32">
        <f>$I$3-6</f>
        <v>224</v>
      </c>
      <c r="D7" s="31">
        <f t="shared" si="0"/>
        <v>58</v>
      </c>
      <c r="E7" s="31">
        <v>1.8</v>
      </c>
      <c r="F7" s="31">
        <v>1</v>
      </c>
      <c r="G7" s="33">
        <f t="shared" si="1"/>
        <v>1.2992</v>
      </c>
      <c r="H7" s="31">
        <f>VLOOKUP($C$2,数据库!$B$1:$C$5,2,0)</f>
        <v>195</v>
      </c>
      <c r="I7" s="33">
        <f t="shared" si="2"/>
        <v>253.344</v>
      </c>
    </row>
    <row r="8" spans="1:11">
      <c r="A8" s="34"/>
      <c r="B8" s="31" t="s">
        <v>27</v>
      </c>
      <c r="C8" s="31">
        <f t="shared" ref="C8:C11" si="3">$G$3-(1.8*2)</f>
        <v>96.4</v>
      </c>
      <c r="D8" s="31">
        <f t="shared" si="0"/>
        <v>58</v>
      </c>
      <c r="E8" s="31">
        <v>1.8</v>
      </c>
      <c r="F8" s="31">
        <v>1</v>
      </c>
      <c r="G8" s="33">
        <f t="shared" si="1"/>
        <v>0.55912</v>
      </c>
      <c r="H8" s="31">
        <f>VLOOKUP($C$2,数据库!$B$1:$C$5,2,0)</f>
        <v>195</v>
      </c>
      <c r="I8" s="33">
        <f t="shared" si="2"/>
        <v>109.0284</v>
      </c>
    </row>
    <row r="9" spans="1:11">
      <c r="A9" s="34"/>
      <c r="B9" s="31" t="s">
        <v>28</v>
      </c>
      <c r="C9" s="31">
        <f t="shared" si="3"/>
        <v>96.4</v>
      </c>
      <c r="D9" s="31">
        <f t="shared" si="0"/>
        <v>58</v>
      </c>
      <c r="E9" s="31">
        <v>1.8</v>
      </c>
      <c r="F9" s="31">
        <v>1</v>
      </c>
      <c r="G9" s="33">
        <f t="shared" si="1"/>
        <v>0.55912</v>
      </c>
      <c r="H9" s="31">
        <f>VLOOKUP($C$2,数据库!$B$1:$C$5,2,0)</f>
        <v>195</v>
      </c>
      <c r="I9" s="33">
        <f t="shared" si="2"/>
        <v>109.0284</v>
      </c>
    </row>
    <row r="10" spans="1:11">
      <c r="A10" s="34"/>
      <c r="B10" s="31" t="s">
        <v>29</v>
      </c>
      <c r="C10" s="31">
        <f>$I$3-1.8-1.8-6</f>
        <v>220.4</v>
      </c>
      <c r="D10" s="31">
        <f>$G$3-(1.8*2)</f>
        <v>96.4</v>
      </c>
      <c r="E10" s="31">
        <v>1.8</v>
      </c>
      <c r="F10" s="31">
        <v>1</v>
      </c>
      <c r="G10" s="33">
        <f t="shared" si="1"/>
        <v>2.124656</v>
      </c>
      <c r="H10" s="31">
        <f>VLOOKUP($C$2,数据库!$B$1:$C$5,2,0)</f>
        <v>195</v>
      </c>
      <c r="I10" s="33">
        <f t="shared" si="2"/>
        <v>414.30792</v>
      </c>
    </row>
    <row r="11" spans="1:11">
      <c r="A11" s="34"/>
      <c r="B11" s="31" t="s">
        <v>30</v>
      </c>
      <c r="C11" s="31">
        <f t="shared" si="3"/>
        <v>96.4</v>
      </c>
      <c r="D11" s="31">
        <f>60-2-1.8</f>
        <v>56.2</v>
      </c>
      <c r="E11" s="31">
        <v>1.8</v>
      </c>
      <c r="F11" s="31">
        <f>VLOOKUP(E3,数据库!$A$21:$B$25,2,0)+(IF(AND(E3="g",I3&gt;=51),1,0))</f>
        <v>2</v>
      </c>
      <c r="G11" s="33">
        <f t="shared" si="1"/>
        <v>1.083536</v>
      </c>
      <c r="H11" s="31">
        <f>VLOOKUP($C$2,数据库!$B$1:$C$5,2,0)</f>
        <v>195</v>
      </c>
      <c r="I11" s="33">
        <f t="shared" si="2"/>
        <v>422.57904</v>
      </c>
    </row>
    <row r="12" spans="1:11">
      <c r="A12" s="34"/>
      <c r="B12" s="31" t="s">
        <v>31</v>
      </c>
      <c r="C12" s="35">
        <f>$I$3-6-0.44</f>
        <v>223.56</v>
      </c>
      <c r="D12" s="31">
        <f>$G$3-0.6</f>
        <v>99.4</v>
      </c>
      <c r="E12" s="31">
        <v>1.8</v>
      </c>
      <c r="F12" s="31">
        <v>1</v>
      </c>
      <c r="G12" s="33">
        <f t="shared" ref="G12:G24" si="4">C12*D12/10000</f>
        <v>2.2221864</v>
      </c>
      <c r="H12" s="31">
        <f>VLOOKUP($C$2,数据库!$B$1:$C$5,2,0)+VLOOKUP($E$2,数据库!B7:C13,2,0)+VLOOKUP($F$2,数据库!B15:C18,2,0)</f>
        <v>195</v>
      </c>
      <c r="I12" s="33">
        <f t="shared" si="2"/>
        <v>433.326348</v>
      </c>
    </row>
    <row r="13" hidden="1" spans="1:11">
      <c r="A13" s="34"/>
      <c r="B13" s="31" t="s">
        <v>32</v>
      </c>
      <c r="C13" s="35">
        <v>19.8</v>
      </c>
      <c r="D13" s="31">
        <f>G3-1.8-1.8-0.4</f>
        <v>96</v>
      </c>
      <c r="E13" s="31">
        <v>1.8</v>
      </c>
      <c r="F13" s="31">
        <f>IF(OR(E3="g",I2="无"),0,1)</f>
        <v>0</v>
      </c>
      <c r="G13" s="33">
        <f t="shared" si="4"/>
        <v>0.19008</v>
      </c>
      <c r="H13" s="31">
        <f>VLOOKUP($C$2,数据库!$B$1:$C$5,2,0)</f>
        <v>195</v>
      </c>
      <c r="I13" s="33">
        <f t="shared" si="2"/>
        <v>0</v>
      </c>
    </row>
    <row r="14" hidden="1" spans="1:11">
      <c r="A14" s="34"/>
      <c r="B14" s="31" t="s">
        <v>33</v>
      </c>
      <c r="C14" s="31">
        <f>G3-4</f>
        <v>96</v>
      </c>
      <c r="D14" s="31">
        <v>16</v>
      </c>
      <c r="E14" s="31">
        <v>1.8</v>
      </c>
      <c r="F14" s="31">
        <f>VLOOKUP($E$3,数据库!$A$28:$B$32,2,0)</f>
        <v>0</v>
      </c>
      <c r="G14" s="33">
        <f t="shared" si="4"/>
        <v>0.1536</v>
      </c>
      <c r="H14" s="31">
        <f>VLOOKUP($C$2,数据库!$B$1:$C$5,2,0)</f>
        <v>195</v>
      </c>
      <c r="I14" s="33">
        <f t="shared" si="2"/>
        <v>0</v>
      </c>
    </row>
    <row r="15" hidden="1" spans="1:11">
      <c r="A15" s="34"/>
      <c r="B15" s="31" t="s">
        <v>34</v>
      </c>
      <c r="C15" s="31">
        <v>49</v>
      </c>
      <c r="D15" s="31">
        <v>12</v>
      </c>
      <c r="E15" s="31">
        <v>1.8</v>
      </c>
      <c r="F15" s="31">
        <f>VLOOKUP($E$3,数据库!$A$28:$B$32,2,0)</f>
        <v>0</v>
      </c>
      <c r="G15" s="33">
        <f t="shared" si="4"/>
        <v>0.0588</v>
      </c>
      <c r="H15" s="31">
        <f>VLOOKUP($C$2,数据库!$B$1:$C$5,2,0)</f>
        <v>195</v>
      </c>
      <c r="I15" s="33">
        <f t="shared" si="2"/>
        <v>0</v>
      </c>
      <c r="K15" s="1"/>
    </row>
    <row r="16" hidden="1" spans="1:11">
      <c r="A16" s="34"/>
      <c r="B16" s="31" t="s">
        <v>35</v>
      </c>
      <c r="C16" s="31">
        <v>49</v>
      </c>
      <c r="D16" s="31">
        <v>12</v>
      </c>
      <c r="E16" s="31">
        <v>1.8</v>
      </c>
      <c r="F16" s="31">
        <f>VLOOKUP($E$3,数据库!$A$28:$B$32,2,0)</f>
        <v>0</v>
      </c>
      <c r="G16" s="33">
        <f t="shared" si="4"/>
        <v>0.0588</v>
      </c>
      <c r="H16" s="31">
        <f>VLOOKUP($C$2,数据库!$B$1:$C$5,2,0)</f>
        <v>195</v>
      </c>
      <c r="I16" s="33">
        <f t="shared" si="2"/>
        <v>0</v>
      </c>
    </row>
    <row r="17" hidden="1" spans="1:9">
      <c r="A17" s="34"/>
      <c r="B17" s="31" t="s">
        <v>36</v>
      </c>
      <c r="C17" s="31">
        <f>G3-8.5</f>
        <v>91.5</v>
      </c>
      <c r="D17" s="31">
        <v>10.7</v>
      </c>
      <c r="E17" s="31">
        <v>1.8</v>
      </c>
      <c r="F17" s="31">
        <f>VLOOKUP($E$3,数据库!$A$28:$B$32,2,0)</f>
        <v>0</v>
      </c>
      <c r="G17" s="33">
        <f t="shared" si="4"/>
        <v>0.097905</v>
      </c>
      <c r="H17" s="31">
        <f>VLOOKUP($C$2,数据库!$B$1:$C$5,2,0)</f>
        <v>195</v>
      </c>
      <c r="I17" s="33">
        <f t="shared" si="2"/>
        <v>0</v>
      </c>
    </row>
    <row r="18" hidden="1" spans="1:9">
      <c r="A18" s="34"/>
      <c r="B18" s="31" t="s">
        <v>37</v>
      </c>
      <c r="C18" s="31">
        <f>G3-8.5</f>
        <v>91.5</v>
      </c>
      <c r="D18" s="31">
        <v>47.2</v>
      </c>
      <c r="E18" s="31">
        <v>1.8</v>
      </c>
      <c r="F18" s="31">
        <f>VLOOKUP($E$3,数据库!$A$28:$B$32,2,0)</f>
        <v>0</v>
      </c>
      <c r="G18" s="33">
        <f t="shared" si="4"/>
        <v>0.43188</v>
      </c>
      <c r="H18" s="31">
        <f>VLOOKUP($C$2,数据库!$B$1:$C$5,2,0)</f>
        <v>195</v>
      </c>
      <c r="I18" s="33">
        <f t="shared" si="2"/>
        <v>0</v>
      </c>
    </row>
    <row r="19" hidden="1" spans="1:9">
      <c r="A19" s="34"/>
      <c r="B19" s="31" t="s">
        <v>38</v>
      </c>
      <c r="C19" s="31">
        <f>G3-4</f>
        <v>96</v>
      </c>
      <c r="D19" s="31">
        <v>5</v>
      </c>
      <c r="E19" s="31">
        <v>1.8</v>
      </c>
      <c r="F19" s="31">
        <f>VLOOKUP($E$3,数据库!$A$35:$B$39,2,0)</f>
        <v>0</v>
      </c>
      <c r="G19" s="33">
        <f t="shared" si="4"/>
        <v>0.048</v>
      </c>
      <c r="H19" s="31">
        <f>VLOOKUP($C$2,数据库!$B$1:$C$5,2,0)</f>
        <v>195</v>
      </c>
      <c r="I19" s="33">
        <f t="shared" si="2"/>
        <v>0</v>
      </c>
    </row>
    <row r="20" hidden="1" spans="1:9">
      <c r="A20" s="34"/>
      <c r="B20" s="31" t="s">
        <v>39</v>
      </c>
      <c r="C20" s="31">
        <v>49</v>
      </c>
      <c r="D20" s="31">
        <v>5</v>
      </c>
      <c r="E20" s="31">
        <v>1.8</v>
      </c>
      <c r="F20" s="31">
        <f>VLOOKUP($E$3,数据库!$A$35:$B$39,2,0)</f>
        <v>0</v>
      </c>
      <c r="G20" s="33">
        <f t="shared" si="4"/>
        <v>0.0245</v>
      </c>
      <c r="H20" s="31">
        <f>VLOOKUP($C$2,数据库!$B$1:$C$5,2,0)</f>
        <v>195</v>
      </c>
      <c r="I20" s="33">
        <f t="shared" si="2"/>
        <v>0</v>
      </c>
    </row>
    <row r="21" hidden="1" spans="1:9">
      <c r="A21" s="34"/>
      <c r="B21" s="31" t="s">
        <v>40</v>
      </c>
      <c r="C21" s="31">
        <v>49</v>
      </c>
      <c r="D21" s="31">
        <v>5</v>
      </c>
      <c r="E21" s="31">
        <v>1.8</v>
      </c>
      <c r="F21" s="31">
        <f>VLOOKUP($E$3,数据库!$A$35:$B$39,2,0)</f>
        <v>0</v>
      </c>
      <c r="G21" s="33">
        <f t="shared" si="4"/>
        <v>0.0245</v>
      </c>
      <c r="H21" s="31">
        <f>VLOOKUP($C$2,数据库!$B$1:$C$5,2,0)</f>
        <v>195</v>
      </c>
      <c r="I21" s="33">
        <f t="shared" si="2"/>
        <v>0</v>
      </c>
    </row>
    <row r="22" hidden="1" spans="1:9">
      <c r="A22" s="34"/>
      <c r="B22" s="31" t="s">
        <v>41</v>
      </c>
      <c r="C22" s="31">
        <f>G3-8.5</f>
        <v>91.5</v>
      </c>
      <c r="D22" s="31">
        <v>4.2</v>
      </c>
      <c r="E22" s="31">
        <v>1.8</v>
      </c>
      <c r="F22" s="31">
        <f>VLOOKUP($E$3,数据库!$A$35:$B$39,2,0)</f>
        <v>0</v>
      </c>
      <c r="G22" s="33">
        <f t="shared" si="4"/>
        <v>0.03843</v>
      </c>
      <c r="H22" s="31">
        <f>VLOOKUP($C$2,数据库!$B$1:$C$5,2,0)</f>
        <v>195</v>
      </c>
      <c r="I22" s="33">
        <f t="shared" si="2"/>
        <v>0</v>
      </c>
    </row>
    <row r="23" hidden="1" spans="1:9">
      <c r="A23" s="34"/>
      <c r="B23" s="31" t="s">
        <v>42</v>
      </c>
      <c r="C23" s="31">
        <f>G3-8.5</f>
        <v>91.5</v>
      </c>
      <c r="D23" s="31">
        <v>47.2</v>
      </c>
      <c r="E23" s="31">
        <v>1.8</v>
      </c>
      <c r="F23" s="31">
        <f>VLOOKUP($E$3,数据库!$A$35:$B$39,2,0)</f>
        <v>0</v>
      </c>
      <c r="G23" s="33">
        <f t="shared" si="4"/>
        <v>0.43188</v>
      </c>
      <c r="H23" s="31">
        <f>VLOOKUP($C$2,数据库!$B$1:$C$5,2,0)</f>
        <v>195</v>
      </c>
      <c r="I23" s="33">
        <f t="shared" si="2"/>
        <v>0</v>
      </c>
    </row>
    <row r="24" spans="1:9">
      <c r="A24" s="36"/>
      <c r="B24" s="31" t="s">
        <v>43</v>
      </c>
      <c r="C24" s="31">
        <f>G3+45</f>
        <v>145</v>
      </c>
      <c r="D24" s="31">
        <v>5.5</v>
      </c>
      <c r="E24" s="31">
        <v>1.8</v>
      </c>
      <c r="F24" s="31">
        <f>IF(E3="g",0,1)</f>
        <v>1</v>
      </c>
      <c r="G24" s="33">
        <f t="shared" si="4"/>
        <v>0.07975</v>
      </c>
      <c r="H24" s="31">
        <f>VLOOKUP($C$2,数据库!$B$1:$C$5,2,0)</f>
        <v>195</v>
      </c>
      <c r="I24" s="33">
        <f t="shared" si="2"/>
        <v>15.55125</v>
      </c>
    </row>
    <row r="25" spans="1:9">
      <c r="A25" s="37" t="s">
        <v>44</v>
      </c>
      <c r="B25" s="37" t="s">
        <v>45</v>
      </c>
      <c r="C25" s="38" t="s">
        <v>46</v>
      </c>
      <c r="D25" s="38"/>
      <c r="E25" s="38"/>
      <c r="F25" s="38"/>
      <c r="G25" s="39">
        <f>G3*I3/320</f>
        <v>71.875</v>
      </c>
      <c r="H25" s="40">
        <v>0.1</v>
      </c>
      <c r="I25" s="41">
        <f t="shared" ref="I25:I58" si="5">H25*G25</f>
        <v>7.1875</v>
      </c>
    </row>
    <row r="26" spans="1:9">
      <c r="A26" s="40"/>
      <c r="B26" s="40"/>
      <c r="C26" s="38" t="s">
        <v>47</v>
      </c>
      <c r="D26" s="38"/>
      <c r="E26" s="38"/>
      <c r="F26" s="38"/>
      <c r="G26" s="39">
        <f>G25</f>
        <v>71.875</v>
      </c>
      <c r="H26" s="40">
        <v>0.1</v>
      </c>
      <c r="I26" s="41">
        <f t="shared" si="5"/>
        <v>7.1875</v>
      </c>
    </row>
    <row r="27" spans="1:9">
      <c r="A27" s="40"/>
      <c r="B27" s="37" t="s">
        <v>48</v>
      </c>
      <c r="C27" s="38" t="s">
        <v>49</v>
      </c>
      <c r="D27" s="38"/>
      <c r="E27" s="38"/>
      <c r="F27" s="38"/>
      <c r="G27" s="40">
        <f>IF($E$3="g",0,4)</f>
        <v>4</v>
      </c>
      <c r="H27" s="40">
        <v>4.27</v>
      </c>
      <c r="I27" s="41">
        <f t="shared" si="5"/>
        <v>17.08</v>
      </c>
    </row>
    <row r="28" ht="13" customHeight="1" spans="1:9">
      <c r="A28" s="40"/>
      <c r="B28" s="40"/>
      <c r="C28" s="38" t="s">
        <v>50</v>
      </c>
      <c r="D28" s="38"/>
      <c r="E28" s="38"/>
      <c r="F28" s="38"/>
      <c r="G28" s="40">
        <f>IF($E$3="g",0,4)</f>
        <v>4</v>
      </c>
      <c r="H28" s="40">
        <v>5.68</v>
      </c>
      <c r="I28" s="41">
        <f t="shared" si="5"/>
        <v>22.72</v>
      </c>
    </row>
    <row r="29" spans="1:9">
      <c r="A29" s="40"/>
      <c r="B29" s="40" t="s">
        <v>51</v>
      </c>
      <c r="C29" s="38" t="str" cm="1">
        <f t="array" ref="C29">IF($G$2="中国品牌",INDEX(数据库!$F$2:$F$9,MATCH("中国品牌",数据库!$E$2:$E$9,0)+ROW(A1)-1),IF($G$2="海外品牌",INDEX(数据库!$F$2:$F$9,MATCH("海外品牌",数据库!$E$2:$E$9,0)+ROW(A1)-1),C29))</f>
        <v>DTC东泰 C81全盖铰链（铰杯螺丝孔间距调整为48mm）</v>
      </c>
      <c r="D29" s="38"/>
      <c r="E29" s="38"/>
      <c r="F29" s="38"/>
      <c r="G29" s="40">
        <v>8</v>
      </c>
      <c r="H29" s="40" cm="1">
        <f t="array" ref="H29">IF($G$2="中国品牌",INDEX(数据库!$G$2:$G$9,MATCH("中国品牌",数据库!$E$2:$E$9,0)+ROW(A1)-1),IF($G$2="海外品牌",INDEX(数据库!$G$2:$G$9,MATCH("海外品牌",数据库!$E$2:$E$9,0)+ROW(A1)-1),H29))</f>
        <v>4</v>
      </c>
      <c r="I29" s="41">
        <f t="shared" si="5"/>
        <v>32</v>
      </c>
    </row>
    <row r="30" spans="1:9">
      <c r="A30" s="40"/>
      <c r="B30" s="40"/>
      <c r="C30" s="38" t="str" cm="1">
        <f t="array" ref="C30">IF($G$2="中国品牌",INDEX(数据库!$F$2:$F$9,MATCH("中国品牌",数据库!$E$2:$E$9,0)+ROW(A2)-1),IF($G$2="海外品牌",INDEX(数据库!$F$2:$F$9,MATCH("海外品牌",数据库!$E$2:$E$9,0)+ROW(A2)-1),C30))</f>
        <v>DTC东泰 C81一字底座</v>
      </c>
      <c r="D30" s="38"/>
      <c r="E30" s="38"/>
      <c r="F30" s="38"/>
      <c r="G30" s="40">
        <f>G29</f>
        <v>8</v>
      </c>
      <c r="H30" s="40" cm="1">
        <f t="array" ref="H30">IF($G$2="中国品牌",INDEX(数据库!$G$2:$G$9,MATCH("中国品牌",数据库!$E$2:$E$9,0)+ROW(A2)-1),IF($G$2="海外品牌",INDEX(数据库!$G$2:$G$9,MATCH("海外品牌",数据库!$E$2:$E$9,0)+ROW(A2)-1),H30))</f>
        <v>1.2</v>
      </c>
      <c r="I30" s="41">
        <f t="shared" si="5"/>
        <v>9.6</v>
      </c>
    </row>
    <row r="31" spans="1:9">
      <c r="A31" s="40"/>
      <c r="B31" s="40"/>
      <c r="C31" s="38" t="str" cm="1">
        <f t="array" ref="C31">IF($G$2="中国品牌",INDEX(数据库!$F$2:$F$9,MATCH("中国品牌",数据库!$E$2:$E$9,0)+ROW(A3)-1),IF($G$2="海外品牌",INDEX(数据库!$F$2:$F$9,MATCH("海外品牌",数据库!$E$2:$E$9,0)+ROW(A3)-1),C31))</f>
        <v>DTC东泰 铰链装饰盖</v>
      </c>
      <c r="D31" s="38"/>
      <c r="E31" s="38"/>
      <c r="F31" s="38"/>
      <c r="G31" s="40">
        <f>G29</f>
        <v>8</v>
      </c>
      <c r="H31" s="40" cm="1">
        <f t="array" ref="H31">IF($G$2="中国品牌",INDEX(数据库!$G$2:$G$9,MATCH("中国品牌",数据库!$E$2:$E$9,0)+ROW(A3)-1),IF($G$2="海外品牌",INDEX(数据库!$G$2:$G$9,MATCH("海外品牌",数据库!$E$2:$E$9,0)+ROW(A3)-1),H31))</f>
        <v>0.5</v>
      </c>
      <c r="I31" s="41">
        <f t="shared" si="5"/>
        <v>4</v>
      </c>
    </row>
    <row r="32" spans="1:9">
      <c r="A32" s="40"/>
      <c r="B32" s="40"/>
      <c r="C32" s="38" t="str" cm="1">
        <f t="array" ref="C32">IF($G$2="中国品牌",INDEX(数据库!$F$2:$F$9,MATCH("中国品牌",数据库!$E$2:$E$9,0)+ROW(A4)-1),IF($G$2="海外品牌",INDEX(数据库!$F$2:$F$9,MATCH("海外品牌",数据库!$E$2:$E$9,0)+ROW(A4)-1),C32))</f>
        <v>DTC东泰 铰杯装饰盖</v>
      </c>
      <c r="D32" s="38"/>
      <c r="E32" s="38"/>
      <c r="F32" s="38"/>
      <c r="G32" s="40">
        <f>G29</f>
        <v>8</v>
      </c>
      <c r="H32" s="40" cm="1">
        <f t="array" ref="H32">IF($G$2="中国品牌",INDEX(数据库!$G$2:$G$9,MATCH("中国品牌",数据库!$E$2:$E$9,0)+ROW(A4)-1),IF($G$2="海外品牌",INDEX(数据库!$G$2:$G$9,MATCH("海外品牌",数据库!$E$2:$E$9,0)+ROW(A4)-1),H32))</f>
        <v>0.5</v>
      </c>
      <c r="I32" s="41">
        <f t="shared" si="5"/>
        <v>4</v>
      </c>
    </row>
    <row r="33" spans="1:9">
      <c r="A33" s="40"/>
      <c r="B33" s="40"/>
      <c r="C33" s="38" t="s">
        <v>52</v>
      </c>
      <c r="D33" s="38"/>
      <c r="E33" s="38"/>
      <c r="F33" s="38"/>
      <c r="G33" s="40">
        <f>G29*2</f>
        <v>16</v>
      </c>
      <c r="H33" s="40">
        <v>0.141</v>
      </c>
      <c r="I33" s="41">
        <f t="shared" si="5"/>
        <v>2.256</v>
      </c>
    </row>
    <row r="34" spans="1:9">
      <c r="A34" s="40"/>
      <c r="B34" s="40"/>
      <c r="C34" s="38" t="s">
        <v>53</v>
      </c>
      <c r="D34" s="38"/>
      <c r="E34" s="38"/>
      <c r="F34" s="38"/>
      <c r="G34" s="40">
        <f>G29*2</f>
        <v>16</v>
      </c>
      <c r="H34" s="40">
        <f>9.6/300</f>
        <v>0.032</v>
      </c>
      <c r="I34" s="41">
        <f t="shared" si="5"/>
        <v>0.512</v>
      </c>
    </row>
    <row r="35" spans="1:9">
      <c r="A35" s="40"/>
      <c r="B35" s="40"/>
      <c r="C35" s="38" t="s">
        <v>54</v>
      </c>
      <c r="D35" s="38"/>
      <c r="E35" s="38"/>
      <c r="F35" s="38"/>
      <c r="G35" s="40">
        <f>G29</f>
        <v>8</v>
      </c>
      <c r="H35" s="40">
        <v>0.128</v>
      </c>
      <c r="I35" s="41">
        <f t="shared" si="5"/>
        <v>1.024</v>
      </c>
    </row>
    <row r="36" hidden="1" spans="1:9">
      <c r="A36" s="40"/>
      <c r="B36" s="40" t="s">
        <v>5</v>
      </c>
      <c r="C36" s="38" t="str" cm="1">
        <f t="array" ref="C36">IF($G$2="中国品牌",INDEX(数据库!$F$26:$F$33,ROW(A1)),IF($G$2="海外品牌",INDEX(数据库!$F$26:$F$33,ROW(A1)+4),C36))</f>
        <v>Led 超薄1010带边灯槽 /米</v>
      </c>
      <c r="D36" s="38"/>
      <c r="E36" s="38"/>
      <c r="F36" s="38"/>
      <c r="G36" s="40">
        <f>IF(OR(I2="无",E3="g"),0,2.2)</f>
        <v>0</v>
      </c>
      <c r="H36" s="40" cm="1">
        <f t="array" ref="H36">IF($G$2="中国品牌",INDEX(数据库!$G$26:$G$33,ROW(A1)),IF($G$2="海外品牌",INDEX(数据库!$G$26:$G$33,ROW(A1)+4),H36))</f>
        <v>4.4</v>
      </c>
      <c r="I36" s="41">
        <f t="shared" si="5"/>
        <v>0</v>
      </c>
    </row>
    <row r="37" hidden="1" spans="1:9">
      <c r="A37" s="40"/>
      <c r="B37" s="40"/>
      <c r="C37" s="38" t="str" cm="1">
        <f t="array" ref="C37">IF($G$2="中国品牌",INDEX(数据库!$F$26:$F$33,ROW(A2)),IF($G$2="海外品牌",INDEX(数据库!$F$26:$F$33,ROW(A2)+4),C37))</f>
        <v>12V 4000K LED灯带 60珠 8mm /米</v>
      </c>
      <c r="D37" s="38"/>
      <c r="E37" s="38"/>
      <c r="F37" s="38"/>
      <c r="G37" s="40">
        <f t="shared" ref="G37:G41" si="6">G36</f>
        <v>0</v>
      </c>
      <c r="H37" s="40" cm="1">
        <f t="array" ref="H37">IF($G$2="中国品牌",INDEX(数据库!$G$26:$G$33,ROW(A2)),IF($G$2="海外品牌",INDEX(数据库!$G$26:$G$33,ROW(A2)+4),H37))</f>
        <v>15</v>
      </c>
      <c r="I37" s="41">
        <f t="shared" si="5"/>
        <v>0</v>
      </c>
    </row>
    <row r="38" hidden="1" spans="1:9">
      <c r="A38" s="40"/>
      <c r="B38" s="40"/>
      <c r="C38" s="38" t="str" cm="1">
        <f t="array" ref="C38">IF($G$2="中国品牌",INDEX(数据库!$F$26:$F$33,ROW(A3)),IF($G$2="海外品牌",INDEX(数据库!$F$26:$F$33,ROW(A3)+4),C38))</f>
        <v>12V 36瓦变压器</v>
      </c>
      <c r="D38" s="38"/>
      <c r="E38" s="38"/>
      <c r="F38" s="38"/>
      <c r="G38" s="40">
        <f>IF(OR(I2="无",E3="g"),0,IF(OR(I2="中国品牌",I2="海外品牌"),1,0))</f>
        <v>0</v>
      </c>
      <c r="H38" s="40" cm="1">
        <f t="array" ref="H38">IF($G$2="中国品牌",INDEX(数据库!$G$26:$G$33,ROW(A3)),IF($G$2="海外品牌",INDEX(数据库!$G$26:$G$33,ROW(A3)+4),H38))</f>
        <v>85</v>
      </c>
      <c r="I38" s="41">
        <f t="shared" si="5"/>
        <v>0</v>
      </c>
    </row>
    <row r="39" hidden="1" spans="1:9">
      <c r="A39" s="40"/>
      <c r="B39" s="40"/>
      <c r="C39" s="38" t="str" cm="1">
        <f t="array" ref="C39">IF($G$2="中国品牌",INDEX(数据库!$F$26:$F$33,ROW(A4)),IF($G$2="海外品牌",INDEX(数据库!$F$26:$F$33,ROW(A4)+4),C39))</f>
        <v>12V 双头门碰感应器</v>
      </c>
      <c r="D39" s="38"/>
      <c r="E39" s="38"/>
      <c r="F39" s="38"/>
      <c r="G39" s="40">
        <f t="shared" si="6"/>
        <v>0</v>
      </c>
      <c r="H39" s="40" cm="1">
        <f t="array" ref="H39">IF($G$2="中国品牌",INDEX(数据库!$G$26:$G$33,ROW(A4)),IF($G$2="海外品牌",INDEX(数据库!$G$26:$G$33,ROW(A4)+4),H39))</f>
        <v>47</v>
      </c>
      <c r="I39" s="41">
        <f t="shared" si="5"/>
        <v>0</v>
      </c>
    </row>
    <row r="40" hidden="1" spans="1:9">
      <c r="A40" s="40"/>
      <c r="B40" s="40"/>
      <c r="C40" s="38" t="s">
        <v>55</v>
      </c>
      <c r="D40" s="38"/>
      <c r="E40" s="38"/>
      <c r="F40" s="38"/>
      <c r="G40" s="40">
        <f>IF(OR(I2="无",E3="g"),0,IF(G3&lt;=60,1.1,1.65))</f>
        <v>0</v>
      </c>
      <c r="H40" s="40">
        <f>14/5</f>
        <v>2.8</v>
      </c>
      <c r="I40" s="41">
        <f t="shared" si="5"/>
        <v>0</v>
      </c>
    </row>
    <row r="41" hidden="1" spans="1:9">
      <c r="A41" s="40"/>
      <c r="B41" s="40"/>
      <c r="C41" s="38" t="s">
        <v>56</v>
      </c>
      <c r="D41" s="38"/>
      <c r="E41" s="38"/>
      <c r="F41" s="38"/>
      <c r="G41" s="40">
        <f t="shared" si="6"/>
        <v>0</v>
      </c>
      <c r="H41" s="40">
        <f>7.92/10</f>
        <v>0.792</v>
      </c>
      <c r="I41" s="41">
        <f t="shared" si="5"/>
        <v>0</v>
      </c>
    </row>
    <row r="42" hidden="1" spans="1:9">
      <c r="A42" s="40"/>
      <c r="B42" s="40"/>
      <c r="C42" s="38" t="s">
        <v>57</v>
      </c>
      <c r="D42" s="38"/>
      <c r="E42" s="38"/>
      <c r="F42" s="38"/>
      <c r="G42" s="40">
        <f>IF(OR(LOWER(E3)="g",I2="无"),0,1)</f>
        <v>0</v>
      </c>
      <c r="H42" s="40">
        <v>7.67</v>
      </c>
      <c r="I42" s="41">
        <f t="shared" si="5"/>
        <v>0</v>
      </c>
    </row>
    <row r="43" spans="1:9">
      <c r="A43" s="40"/>
      <c r="B43" s="40" t="s">
        <v>58</v>
      </c>
      <c r="C43" s="38" t="str" cm="1">
        <f t="array" ref="C43">IF($G$2="中国品牌",INDEX(数据库!$F$12:$F$15,ROW(A1)),IF($G$2="海外品牌",INDEX(数据库!$F$12:$F$15,ROW(A1)+2),C43))</f>
        <v>加厚铝合金静音条挂衣杆 /cm</v>
      </c>
      <c r="D43" s="38"/>
      <c r="E43" s="38"/>
      <c r="F43" s="38"/>
      <c r="G43" s="40" cm="1">
        <f t="array" ref="G43">IF(E3="g",0,IF(E3="a",(G3-4.9)*2,IF(OR(E3={"b","c","d"}),G3-4.9,"0")))</f>
        <v>190.2</v>
      </c>
      <c r="H43" s="40" cm="1">
        <f t="array" ref="H43">IF($G$2="中国品牌",INDEX(数据库!$G$12:$G$15,ROW(A1)),IF($G$2="海外品牌",INDEX(数据库!$G$12:$G$15,ROW(A1)+2),H43))</f>
        <v>0.35</v>
      </c>
      <c r="I43" s="41">
        <f t="shared" si="5"/>
        <v>66.57</v>
      </c>
    </row>
    <row r="44" spans="1:9">
      <c r="A44" s="40"/>
      <c r="B44" s="40"/>
      <c r="C44" s="38" t="str" cm="1">
        <f t="array" ref="C44">IF($G$2="中国品牌",INDEX(数据库!$F$12:$F$15,ROW(A2)),IF($G$2="海外品牌",INDEX(数据库!$F$12:$F$15,ROW(A2)+2),C44))</f>
        <v>挂衣杆双侧法兰 /对</v>
      </c>
      <c r="D44" s="38"/>
      <c r="E44" s="38"/>
      <c r="F44" s="38"/>
      <c r="G44" s="40" cm="1">
        <f t="array" ref="G44">IF(E3="g",0,IF(E3="a",2,IF(OR(E3={"b","c","d"}),1,"0")))</f>
        <v>2</v>
      </c>
      <c r="H44" s="40" cm="1">
        <f t="array" ref="H44">IF($G$2="中国品牌",INDEX(数据库!$G$12:$G$15,ROW(A2)),IF($G$2="海外品牌",INDEX(数据库!$G$12:$G$15,ROW(A2)+2),H44))</f>
        <v>5</v>
      </c>
      <c r="I44" s="41">
        <f t="shared" si="5"/>
        <v>10</v>
      </c>
    </row>
    <row r="45" spans="1:9">
      <c r="A45" s="40"/>
      <c r="B45" s="40"/>
      <c r="C45" s="38" t="s">
        <v>52</v>
      </c>
      <c r="D45" s="38"/>
      <c r="E45" s="38"/>
      <c r="F45" s="38"/>
      <c r="G45" s="40">
        <f>G44*4</f>
        <v>8</v>
      </c>
      <c r="H45" s="40">
        <v>0.141</v>
      </c>
      <c r="I45" s="41">
        <f t="shared" si="5"/>
        <v>1.128</v>
      </c>
    </row>
    <row r="46" spans="1:9">
      <c r="A46" s="40"/>
      <c r="B46" s="40"/>
      <c r="C46" s="38" t="s">
        <v>53</v>
      </c>
      <c r="D46" s="38"/>
      <c r="E46" s="38"/>
      <c r="F46" s="38"/>
      <c r="G46" s="40">
        <f>G45</f>
        <v>8</v>
      </c>
      <c r="H46" s="40">
        <f>9.6/300</f>
        <v>0.032</v>
      </c>
      <c r="I46" s="41">
        <f t="shared" si="5"/>
        <v>0.256</v>
      </c>
    </row>
    <row r="47" hidden="1" spans="1:9">
      <c r="A47" s="40"/>
      <c r="B47" s="40" t="s">
        <v>59</v>
      </c>
      <c r="C47" s="38" t="s">
        <v>60</v>
      </c>
      <c r="D47" s="38"/>
      <c r="E47" s="38"/>
      <c r="F47" s="38"/>
      <c r="G47" s="40">
        <f>IF(E3="c",2,IF(E3="d",3,0))</f>
        <v>0</v>
      </c>
      <c r="H47" s="40">
        <v>60</v>
      </c>
      <c r="I47" s="41">
        <f t="shared" si="5"/>
        <v>0</v>
      </c>
    </row>
    <row r="48" hidden="1" spans="1:9">
      <c r="A48" s="40"/>
      <c r="B48" s="40"/>
      <c r="C48" s="38" t="s">
        <v>52</v>
      </c>
      <c r="D48" s="38"/>
      <c r="E48" s="38"/>
      <c r="F48" s="38"/>
      <c r="G48" s="40">
        <f>G47*8</f>
        <v>0</v>
      </c>
      <c r="H48" s="40">
        <v>0.141</v>
      </c>
      <c r="I48" s="41">
        <f t="shared" si="5"/>
        <v>0</v>
      </c>
    </row>
    <row r="49" hidden="1" spans="1:9">
      <c r="A49" s="40"/>
      <c r="B49" s="40"/>
      <c r="C49" s="38" t="s">
        <v>53</v>
      </c>
      <c r="D49" s="38"/>
      <c r="E49" s="38"/>
      <c r="F49" s="38"/>
      <c r="G49" s="40">
        <f>G48</f>
        <v>0</v>
      </c>
      <c r="H49" s="40">
        <f>9.6/300</f>
        <v>0.032</v>
      </c>
      <c r="I49" s="41">
        <f t="shared" si="5"/>
        <v>0</v>
      </c>
    </row>
    <row r="50" hidden="1" spans="1:9">
      <c r="A50" s="40"/>
      <c r="B50" s="40"/>
      <c r="C50" s="38" t="str">
        <f>IF($G$2="中国品牌",数据库!F36,IF($G$2="海外品牌",数据库!F37,C50))</f>
        <v>常规三合一</v>
      </c>
      <c r="D50" s="38"/>
      <c r="E50" s="38"/>
      <c r="F50" s="38"/>
      <c r="G50" s="40">
        <f>G47*15</f>
        <v>0</v>
      </c>
      <c r="H50" s="40">
        <f>IF($G$2="中国品牌",数据库!G36,IF($G$2="海外品牌",数据库!G37,H50))</f>
        <v>0.2</v>
      </c>
      <c r="I50" s="41">
        <f t="shared" si="5"/>
        <v>0</v>
      </c>
    </row>
    <row r="51" hidden="1" spans="1:9">
      <c r="A51" s="40"/>
      <c r="B51" s="42" t="s">
        <v>61</v>
      </c>
      <c r="C51" s="43" t="str">
        <f>IFERROR(IF($G$2="中国品牌",数据库!F22,IF($G$2="海外品牌",数据库!F23,C51)),0)</f>
        <v>H-03A任意停支撑杆</v>
      </c>
      <c r="D51" s="44"/>
      <c r="E51" s="44"/>
      <c r="F51" s="45"/>
      <c r="G51" s="40">
        <f>IF(AND(E3="g",I3&lt;=50),IF(G3&lt;=60,1,2),0)</f>
        <v>0</v>
      </c>
      <c r="H51" s="40">
        <f>IFERROR(IF($G$2="中国品牌",数据库!G22,IF($G$2="海外品牌",数据库!G23,H51)),0)</f>
        <v>14.5</v>
      </c>
      <c r="I51" s="41">
        <f t="shared" si="5"/>
        <v>0</v>
      </c>
    </row>
    <row r="52" spans="1:9">
      <c r="A52" s="40"/>
      <c r="B52" s="46"/>
      <c r="C52" s="38" t="str">
        <f>IF($G$2="中国品牌",数据库!F18,IF($G$2="海外品牌",数据库!F19,C52))</f>
        <v>悍高 重型反弹器 L=70mm</v>
      </c>
      <c r="D52" s="38"/>
      <c r="E52" s="38"/>
      <c r="F52" s="38"/>
      <c r="G52" s="40">
        <f>IF(G3&lt;=60,1,2)</f>
        <v>2</v>
      </c>
      <c r="H52" s="40">
        <f>IF($G$2="中国品牌",数据库!G18,IF($G$2="海外品牌",数据库!G19,H52))</f>
        <v>2.2</v>
      </c>
      <c r="I52" s="41">
        <f t="shared" si="5"/>
        <v>4.4</v>
      </c>
    </row>
    <row r="53" hidden="1" spans="1:9">
      <c r="A53" s="40"/>
      <c r="B53" s="46"/>
      <c r="C53" s="38" t="s">
        <v>52</v>
      </c>
      <c r="D53" s="38"/>
      <c r="E53" s="38"/>
      <c r="F53" s="38"/>
      <c r="G53" s="40">
        <f>G51*4</f>
        <v>0</v>
      </c>
      <c r="H53" s="40">
        <v>0.141</v>
      </c>
      <c r="I53" s="41">
        <f t="shared" si="5"/>
        <v>0</v>
      </c>
    </row>
    <row r="54" hidden="1" spans="1:9">
      <c r="A54" s="40"/>
      <c r="B54" s="46"/>
      <c r="C54" s="38" t="s">
        <v>53</v>
      </c>
      <c r="D54" s="38"/>
      <c r="E54" s="38"/>
      <c r="F54" s="38"/>
      <c r="G54" s="40">
        <f>G53</f>
        <v>0</v>
      </c>
      <c r="H54" s="40">
        <f>9.6/300</f>
        <v>0.032</v>
      </c>
      <c r="I54" s="41">
        <f t="shared" si="5"/>
        <v>0</v>
      </c>
    </row>
    <row r="55" spans="1:9">
      <c r="A55" s="40"/>
      <c r="B55" s="46"/>
      <c r="C55" s="38" t="s">
        <v>62</v>
      </c>
      <c r="D55" s="38"/>
      <c r="E55" s="38"/>
      <c r="F55" s="38"/>
      <c r="G55" s="40">
        <f>IF(G3&lt;=60,2,4)</f>
        <v>4</v>
      </c>
      <c r="H55" s="40">
        <f>5.5/100</f>
        <v>0.055</v>
      </c>
      <c r="I55" s="41">
        <f t="shared" si="5"/>
        <v>0.22</v>
      </c>
    </row>
    <row r="56" spans="1:9">
      <c r="A56" s="40"/>
      <c r="B56" s="46"/>
      <c r="C56" s="38" t="s">
        <v>63</v>
      </c>
      <c r="D56" s="38"/>
      <c r="E56" s="38"/>
      <c r="F56" s="38"/>
      <c r="G56" s="40">
        <f>G55*0.05</f>
        <v>0.2</v>
      </c>
      <c r="H56" s="40">
        <v>15.9</v>
      </c>
      <c r="I56" s="41">
        <f t="shared" si="5"/>
        <v>3.18</v>
      </c>
    </row>
    <row r="57" spans="1:9">
      <c r="A57" s="40"/>
      <c r="B57" s="46"/>
      <c r="C57" s="38" t="s">
        <v>64</v>
      </c>
      <c r="D57" s="38"/>
      <c r="E57" s="38"/>
      <c r="F57" s="38"/>
      <c r="G57" s="40">
        <f>IF(E3="g",0,2)</f>
        <v>2</v>
      </c>
      <c r="H57" s="40">
        <f>8.8/50</f>
        <v>0.176</v>
      </c>
      <c r="I57" s="41">
        <f t="shared" si="5"/>
        <v>0.352</v>
      </c>
    </row>
    <row r="58" spans="1:9">
      <c r="A58" s="40"/>
      <c r="B58" s="47"/>
      <c r="C58" s="38" t="s">
        <v>65</v>
      </c>
      <c r="D58" s="38"/>
      <c r="E58" s="38"/>
      <c r="F58" s="38"/>
      <c r="G58" s="40">
        <f>IF(E3="g",0,G3/100)</f>
        <v>1</v>
      </c>
      <c r="H58" s="40">
        <v>2</v>
      </c>
      <c r="I58" s="41">
        <f t="shared" si="5"/>
        <v>2</v>
      </c>
    </row>
    <row r="59" spans="1:9">
      <c r="A59" s="28" t="s">
        <v>66</v>
      </c>
      <c r="B59" s="28" t="s">
        <v>67</v>
      </c>
      <c r="C59" s="28"/>
      <c r="D59" s="28"/>
      <c r="E59" s="28"/>
      <c r="F59" s="28"/>
      <c r="G59" s="28"/>
      <c r="H59" s="48" cm="1">
        <f t="array" ref="H59">(SUMPRODUCT(F6:F24,G6:G24))*15</f>
        <v>154.654566</v>
      </c>
      <c r="I59" s="48"/>
    </row>
    <row r="60" spans="1:9">
      <c r="A60" s="28"/>
      <c r="B60" s="28" t="s">
        <v>68</v>
      </c>
      <c r="C60" s="28"/>
      <c r="D60" s="28"/>
      <c r="E60" s="28"/>
      <c r="F60" s="28"/>
      <c r="G60" s="28"/>
      <c r="H60" s="48" cm="1">
        <f t="array" ref="H60">(SUMPRODUCT(F6:F24,G6:G24))*20</f>
        <v>206.206088</v>
      </c>
      <c r="I60" s="48"/>
    </row>
    <row r="61" spans="1:9">
      <c r="A61" s="28"/>
      <c r="B61" s="28" t="s">
        <v>69</v>
      </c>
      <c r="C61" s="28"/>
      <c r="D61" s="28"/>
      <c r="E61" s="28"/>
      <c r="F61" s="28"/>
      <c r="G61" s="28"/>
      <c r="H61" s="48">
        <f>SUM(I6:I24)</f>
        <v>2010.509358</v>
      </c>
      <c r="I61" s="48"/>
    </row>
    <row r="62" spans="1:9">
      <c r="A62" s="28"/>
      <c r="B62" s="28" t="s">
        <v>70</v>
      </c>
      <c r="C62" s="28"/>
      <c r="D62" s="28"/>
      <c r="E62" s="28"/>
      <c r="F62" s="28"/>
      <c r="G62" s="28"/>
      <c r="H62" s="48">
        <f>SUM(I25:I58)</f>
        <v>195.673</v>
      </c>
      <c r="I62" s="48"/>
    </row>
    <row r="63" spans="1:9">
      <c r="A63" s="28"/>
      <c r="B63" s="28" t="s">
        <v>71</v>
      </c>
      <c r="C63" s="28"/>
      <c r="D63" s="28"/>
      <c r="E63" s="28"/>
      <c r="F63" s="28"/>
      <c r="G63" s="28"/>
      <c r="H63" s="48">
        <f>SUM(H59:I62)</f>
        <v>2567.043012</v>
      </c>
      <c r="I63" s="48"/>
    </row>
  </sheetData>
  <sheetProtection formatCells="0" formatColumns="0" formatRows="0" insertRows="0" insertColumns="0" insertHyperlinks="0" deleteColumns="0" deleteRows="0" sort="0" autoFilter="0" pivotTables="0"/>
  <mergeCells count="68">
    <mergeCell ref="C1:D1"/>
    <mergeCell ref="G1:H1"/>
    <mergeCell ref="C2:D2"/>
    <mergeCell ref="G2:H2"/>
    <mergeCell ref="B3:C3"/>
    <mergeCell ref="C4:E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B59:G59"/>
    <mergeCell ref="H59:I59"/>
    <mergeCell ref="B60:G60"/>
    <mergeCell ref="H60:I60"/>
    <mergeCell ref="B61:G61"/>
    <mergeCell ref="H61:I61"/>
    <mergeCell ref="B62:G62"/>
    <mergeCell ref="H62:I62"/>
    <mergeCell ref="B63:G63"/>
    <mergeCell ref="H63:I63"/>
    <mergeCell ref="A1:A2"/>
    <mergeCell ref="A4:A5"/>
    <mergeCell ref="A6:A24"/>
    <mergeCell ref="A25:A58"/>
    <mergeCell ref="A59:A63"/>
    <mergeCell ref="B1:B2"/>
    <mergeCell ref="B4:B5"/>
    <mergeCell ref="B25:B26"/>
    <mergeCell ref="B27:B28"/>
    <mergeCell ref="B29:B35"/>
    <mergeCell ref="B36:B42"/>
    <mergeCell ref="B43:B46"/>
    <mergeCell ref="B47:B50"/>
    <mergeCell ref="B51:B58"/>
    <mergeCell ref="F4:F5"/>
    <mergeCell ref="G4:G5"/>
    <mergeCell ref="H4:H5"/>
    <mergeCell ref="I4:I5"/>
  </mergeCells>
  <dataValidations count="7">
    <dataValidation type="list" allowBlank="1" showInputMessage="1" showErrorMessage="1" sqref="C2:D2">
      <formula1>数据库!$B$1:$B$5</formula1>
    </dataValidation>
    <dataValidation type="list" allowBlank="1" showInputMessage="1" showErrorMessage="1" sqref="E2">
      <formula1>数据库!$B$7:$B$13</formula1>
    </dataValidation>
    <dataValidation type="list" allowBlank="1" showInputMessage="1" showErrorMessage="1" sqref="F2">
      <formula1>数据库!$B$15:$B$18</formula1>
    </dataValidation>
    <dataValidation type="list" allowBlank="1" showInputMessage="1" showErrorMessage="1" sqref="G2">
      <formula1>"中国品牌,海外品牌"</formula1>
    </dataValidation>
    <dataValidation type="list" allowBlank="1" showInputMessage="1" showErrorMessage="1" sqref="I2">
      <formula1>"无,中国品牌,海外品牌"</formula1>
    </dataValidation>
    <dataValidation allowBlank="1" showInputMessage="1" showErrorMessage="1" sqref="E3"/>
    <dataValidation type="list" allowBlank="1" showInputMessage="1" showErrorMessage="1" sqref="M4">
      <formula1>"爱格（进口）,兔宝宝（国产）"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9"/>
  <sheetViews>
    <sheetView zoomScale="102" zoomScaleNormal="102" workbookViewId="0">
      <selection activeCell="C24" sqref="C24"/>
    </sheetView>
  </sheetViews>
  <sheetFormatPr defaultColWidth="8" defaultRowHeight="13.5" outlineLevelCol="6"/>
  <cols>
    <col min="1" max="1" width="9.45185185185185" style="1" customWidth="1"/>
    <col min="2" max="2" width="16.4814814814815" style="2" customWidth="1"/>
    <col min="3" max="3" width="8" style="2"/>
    <col min="4" max="5" width="8" style="1"/>
    <col min="6" max="6" width="52.4444444444444" style="1" customWidth="1"/>
    <col min="7" max="16384" width="8" style="1"/>
  </cols>
  <sheetData>
    <row r="1" spans="1:7">
      <c r="A1" s="3" t="s">
        <v>1</v>
      </c>
      <c r="B1" s="4" t="s">
        <v>72</v>
      </c>
      <c r="C1" s="5">
        <v>80</v>
      </c>
      <c r="E1" s="3" t="s">
        <v>73</v>
      </c>
      <c r="F1" s="4"/>
      <c r="G1" s="5"/>
    </row>
    <row r="2" spans="1:7">
      <c r="A2" s="6"/>
      <c r="B2" s="2" t="s">
        <v>74</v>
      </c>
      <c r="C2" s="7">
        <v>120</v>
      </c>
      <c r="E2" s="6" t="s">
        <v>9</v>
      </c>
      <c r="F2" s="8" t="s">
        <v>75</v>
      </c>
      <c r="G2" s="9">
        <v>4</v>
      </c>
    </row>
    <row r="3" spans="1:7">
      <c r="A3" s="6"/>
      <c r="B3" s="2" t="s">
        <v>76</v>
      </c>
      <c r="C3" s="7">
        <v>115</v>
      </c>
      <c r="E3" s="6"/>
      <c r="F3" s="1" t="s">
        <v>77</v>
      </c>
      <c r="G3" s="9">
        <v>1.2</v>
      </c>
    </row>
    <row r="4" spans="1:7">
      <c r="A4" s="6"/>
      <c r="B4" s="2" t="s">
        <v>78</v>
      </c>
      <c r="C4" s="7">
        <v>155</v>
      </c>
      <c r="E4" s="6"/>
      <c r="F4" s="1" t="s">
        <v>79</v>
      </c>
      <c r="G4" s="9">
        <v>0.5</v>
      </c>
    </row>
    <row r="5" ht="14.25" spans="1:7">
      <c r="A5" s="10"/>
      <c r="B5" s="11" t="s">
        <v>6</v>
      </c>
      <c r="C5" s="12">
        <v>195</v>
      </c>
      <c r="E5" s="6"/>
      <c r="F5" s="1" t="s">
        <v>80</v>
      </c>
      <c r="G5" s="9">
        <v>0.5</v>
      </c>
    </row>
    <row r="6" ht="14.25" spans="1:7">
      <c r="E6" s="6" t="s">
        <v>81</v>
      </c>
      <c r="F6" s="1" t="s">
        <v>82</v>
      </c>
      <c r="G6" s="9">
        <v>20</v>
      </c>
    </row>
    <row r="7" spans="1:7">
      <c r="A7" s="3" t="s">
        <v>2</v>
      </c>
      <c r="B7" s="4" t="s">
        <v>7</v>
      </c>
      <c r="C7" s="5">
        <v>0</v>
      </c>
      <c r="E7" s="6"/>
      <c r="F7" s="1" t="s">
        <v>83</v>
      </c>
      <c r="G7" s="9">
        <v>5</v>
      </c>
    </row>
    <row r="8" spans="1:7">
      <c r="A8" s="6"/>
      <c r="B8" s="2" t="s">
        <v>84</v>
      </c>
      <c r="C8" s="7">
        <v>200</v>
      </c>
      <c r="E8" s="6"/>
      <c r="F8" s="1" t="s">
        <v>85</v>
      </c>
      <c r="G8" s="9">
        <v>1</v>
      </c>
    </row>
    <row r="9" ht="14.25" spans="1:7">
      <c r="A9" s="6"/>
      <c r="B9" s="2" t="s">
        <v>86</v>
      </c>
      <c r="C9" s="7">
        <v>250</v>
      </c>
      <c r="E9" s="10"/>
      <c r="F9" s="13" t="s">
        <v>87</v>
      </c>
      <c r="G9" s="14">
        <v>1</v>
      </c>
    </row>
    <row r="10" ht="14.25" spans="1:7">
      <c r="A10" s="6"/>
      <c r="B10" s="2" t="s">
        <v>88</v>
      </c>
      <c r="C10" s="7">
        <v>270</v>
      </c>
    </row>
    <row r="11" spans="1:7">
      <c r="A11" s="6"/>
      <c r="B11" s="2" t="s">
        <v>89</v>
      </c>
      <c r="C11" s="7">
        <v>300</v>
      </c>
      <c r="E11" s="3" t="s">
        <v>90</v>
      </c>
      <c r="F11" s="4"/>
      <c r="G11" s="5"/>
    </row>
    <row r="12" spans="1:7">
      <c r="A12" s="6"/>
      <c r="B12" s="2" t="s">
        <v>91</v>
      </c>
      <c r="C12" s="7">
        <v>480</v>
      </c>
      <c r="E12" s="6" t="s">
        <v>9</v>
      </c>
      <c r="F12" s="1" t="s">
        <v>92</v>
      </c>
      <c r="G12" s="9">
        <v>0.35</v>
      </c>
    </row>
    <row r="13" ht="14.25" spans="1:7">
      <c r="A13" s="10"/>
      <c r="B13" s="11" t="s">
        <v>93</v>
      </c>
      <c r="C13" s="12">
        <v>830</v>
      </c>
      <c r="E13" s="6"/>
      <c r="F13" s="1" t="s">
        <v>94</v>
      </c>
      <c r="G13" s="9">
        <v>5</v>
      </c>
    </row>
    <row r="14" ht="14.25" spans="1:7">
      <c r="E14" s="6" t="s">
        <v>81</v>
      </c>
      <c r="F14" s="1" t="s">
        <v>95</v>
      </c>
      <c r="G14" s="9">
        <f>216/3/100</f>
        <v>0.72</v>
      </c>
    </row>
    <row r="15" ht="14.25" spans="1:7">
      <c r="A15" s="3" t="s">
        <v>3</v>
      </c>
      <c r="B15" s="4" t="s">
        <v>8</v>
      </c>
      <c r="C15" s="5">
        <v>0</v>
      </c>
      <c r="E15" s="10"/>
      <c r="F15" s="13" t="s">
        <v>96</v>
      </c>
      <c r="G15" s="14">
        <v>50</v>
      </c>
    </row>
    <row r="16" ht="14.25" spans="1:7">
      <c r="A16" s="6"/>
      <c r="B16" s="2" t="s">
        <v>97</v>
      </c>
      <c r="C16" s="7">
        <v>75</v>
      </c>
    </row>
    <row r="17" spans="1:7">
      <c r="A17" s="6"/>
      <c r="B17" s="2" t="s">
        <v>98</v>
      </c>
      <c r="C17" s="7">
        <v>148</v>
      </c>
      <c r="E17" s="3" t="s">
        <v>99</v>
      </c>
      <c r="F17" s="4"/>
      <c r="G17" s="5"/>
    </row>
    <row r="18" ht="14.25" spans="1:7">
      <c r="A18" s="10"/>
      <c r="B18" s="11" t="s">
        <v>100</v>
      </c>
      <c r="C18" s="12">
        <v>300</v>
      </c>
      <c r="E18" s="15" t="s">
        <v>9</v>
      </c>
      <c r="F18" s="1" t="s">
        <v>101</v>
      </c>
      <c r="G18" s="9">
        <v>2.2</v>
      </c>
    </row>
    <row r="19" ht="14.25" spans="1:7">
      <c r="E19" s="16" t="s">
        <v>81</v>
      </c>
      <c r="F19" s="13" t="s">
        <v>102</v>
      </c>
      <c r="G19" s="14">
        <v>22</v>
      </c>
    </row>
    <row r="20" ht="14.25" spans="1:7">
      <c r="A20" s="3" t="s">
        <v>103</v>
      </c>
      <c r="B20" s="5"/>
    </row>
    <row r="21" spans="1:7">
      <c r="A21" s="15" t="s">
        <v>104</v>
      </c>
      <c r="B21" s="7">
        <v>2</v>
      </c>
      <c r="E21" s="3" t="s">
        <v>105</v>
      </c>
      <c r="F21" s="4"/>
      <c r="G21" s="5"/>
    </row>
    <row r="22" spans="1:7">
      <c r="A22" s="15" t="s">
        <v>106</v>
      </c>
      <c r="B22" s="7">
        <v>2</v>
      </c>
      <c r="E22" s="15" t="s">
        <v>9</v>
      </c>
      <c r="F22" s="1" t="s">
        <v>107</v>
      </c>
      <c r="G22" s="9">
        <v>14.5</v>
      </c>
    </row>
    <row r="23" ht="14.25" spans="1:7">
      <c r="A23" s="15" t="s">
        <v>108</v>
      </c>
      <c r="B23" s="7">
        <v>2</v>
      </c>
      <c r="E23" s="16" t="s">
        <v>81</v>
      </c>
      <c r="F23" s="13" t="s">
        <v>109</v>
      </c>
      <c r="G23" s="14">
        <v>97</v>
      </c>
    </row>
    <row r="24" ht="14.25" spans="1:7">
      <c r="A24" s="15" t="s">
        <v>110</v>
      </c>
      <c r="B24" s="7">
        <v>3</v>
      </c>
    </row>
    <row r="25" ht="14.25" spans="1:7">
      <c r="A25" s="16" t="s">
        <v>111</v>
      </c>
      <c r="B25" s="12">
        <v>0</v>
      </c>
      <c r="E25" s="3" t="s">
        <v>5</v>
      </c>
      <c r="F25" s="4"/>
      <c r="G25" s="5"/>
    </row>
    <row r="26" ht="14.25" spans="1:7">
      <c r="E26" s="6" t="s">
        <v>9</v>
      </c>
      <c r="F26" s="1" t="s">
        <v>112</v>
      </c>
      <c r="G26" s="9">
        <v>4.4</v>
      </c>
    </row>
    <row r="27" spans="1:7">
      <c r="A27" s="3" t="s">
        <v>113</v>
      </c>
      <c r="B27" s="5"/>
      <c r="E27" s="6"/>
      <c r="F27" s="1" t="s">
        <v>114</v>
      </c>
      <c r="G27" s="9">
        <v>15</v>
      </c>
    </row>
    <row r="28" spans="1:7">
      <c r="A28" s="15" t="s">
        <v>104</v>
      </c>
      <c r="B28" s="7">
        <v>0</v>
      </c>
      <c r="E28" s="6"/>
      <c r="F28" s="1" t="s">
        <v>115</v>
      </c>
      <c r="G28" s="9">
        <v>85</v>
      </c>
    </row>
    <row r="29" spans="1:7">
      <c r="A29" s="15" t="s">
        <v>106</v>
      </c>
      <c r="B29" s="7">
        <v>0</v>
      </c>
      <c r="E29" s="6"/>
      <c r="F29" s="1" t="s">
        <v>116</v>
      </c>
      <c r="G29" s="9">
        <v>47</v>
      </c>
    </row>
    <row r="30" spans="1:7">
      <c r="A30" s="15" t="s">
        <v>108</v>
      </c>
      <c r="B30" s="7">
        <v>2</v>
      </c>
      <c r="E30" s="6" t="s">
        <v>81</v>
      </c>
      <c r="F30" s="1" t="s">
        <v>117</v>
      </c>
      <c r="G30" s="9">
        <f>41.58/3</f>
        <v>13.86</v>
      </c>
    </row>
    <row r="31" spans="1:7">
      <c r="A31" s="15" t="s">
        <v>110</v>
      </c>
      <c r="B31" s="7">
        <v>2</v>
      </c>
      <c r="E31" s="6"/>
      <c r="F31" s="1" t="s">
        <v>118</v>
      </c>
      <c r="G31" s="9">
        <f>200/5</f>
        <v>40</v>
      </c>
    </row>
    <row r="32" ht="14.25" spans="1:7">
      <c r="A32" s="16" t="s">
        <v>111</v>
      </c>
      <c r="B32" s="12">
        <v>0</v>
      </c>
      <c r="E32" s="6"/>
      <c r="F32" s="1" t="s">
        <v>119</v>
      </c>
      <c r="G32" s="9">
        <f>120+80</f>
        <v>200</v>
      </c>
    </row>
    <row r="33" ht="14.25" spans="1:7">
      <c r="E33" s="10"/>
      <c r="F33" s="17" t="s">
        <v>120</v>
      </c>
      <c r="G33" s="14">
        <f>33.27+16.12</f>
        <v>49.39</v>
      </c>
    </row>
    <row r="34" ht="14.25" spans="1:7">
      <c r="A34" s="3" t="s">
        <v>121</v>
      </c>
      <c r="B34" s="5"/>
    </row>
    <row r="35" spans="1:7">
      <c r="A35" s="15" t="s">
        <v>104</v>
      </c>
      <c r="B35" s="7">
        <v>0</v>
      </c>
      <c r="E35" s="3" t="s">
        <v>122</v>
      </c>
      <c r="F35" s="4"/>
      <c r="G35" s="5"/>
    </row>
    <row r="36" spans="1:7">
      <c r="A36" s="15" t="s">
        <v>106</v>
      </c>
      <c r="B36" s="7">
        <v>0</v>
      </c>
      <c r="E36" s="15" t="s">
        <v>9</v>
      </c>
      <c r="F36" s="1" t="s">
        <v>123</v>
      </c>
      <c r="G36" s="9">
        <v>0.2</v>
      </c>
    </row>
    <row r="37" ht="14.25" spans="1:7">
      <c r="A37" s="15" t="s">
        <v>108</v>
      </c>
      <c r="B37" s="7">
        <v>0</v>
      </c>
      <c r="E37" s="16" t="s">
        <v>81</v>
      </c>
      <c r="F37" s="13" t="s">
        <v>124</v>
      </c>
      <c r="G37" s="14">
        <v>0.8</v>
      </c>
    </row>
    <row r="38" spans="1:7">
      <c r="A38" s="15" t="s">
        <v>110</v>
      </c>
      <c r="B38" s="7">
        <v>1</v>
      </c>
    </row>
    <row r="39" ht="14.25" spans="1:7">
      <c r="A39" s="16" t="s">
        <v>111</v>
      </c>
      <c r="B39" s="12">
        <v>0</v>
      </c>
    </row>
  </sheetData>
  <sheetProtection formatCells="0" formatColumns="0" formatRows="0" insertRows="0" insertColumns="0" insertHyperlinks="0" deleteColumns="0" deleteRows="0" sort="0" autoFilter="0" pivotTables="0"/>
  <mergeCells count="18">
    <mergeCell ref="E1:G1"/>
    <mergeCell ref="E11:G11"/>
    <mergeCell ref="E17:G17"/>
    <mergeCell ref="A20:B20"/>
    <mergeCell ref="E21:G21"/>
    <mergeCell ref="E25:G25"/>
    <mergeCell ref="A27:B27"/>
    <mergeCell ref="A34:B34"/>
    <mergeCell ref="E35:G35"/>
    <mergeCell ref="A1:A5"/>
    <mergeCell ref="A7:A13"/>
    <mergeCell ref="A15:A18"/>
    <mergeCell ref="E2:E5"/>
    <mergeCell ref="E6:E9"/>
    <mergeCell ref="E12:E13"/>
    <mergeCell ref="E14:E15"/>
    <mergeCell ref="E26:E29"/>
    <mergeCell ref="E30:E33"/>
  </mergeCells>
  <pageMargins left="0.7" right="0.7" top="0.75" bottom="0.75" header="0.3" footer="0.3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a、b、c、d、g</vt:lpstr>
      <vt:lpstr>数据库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2026-06-18T22:57:29Z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DA11D99BD8096E105907346ADBB15F52_41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1</vt:i4>
  </property>
</Properties>
</file>